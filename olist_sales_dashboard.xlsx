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false" localSheetId="0" name="_xlnm.Print_Area" vbProcedure="false">Dashboard!$A$1:$T$87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<sst xmlns="http://schemas.openxmlformats.org/spreadsheetml/2006/main" count="111" uniqueCount="105">
  <si>
    <t xml:space="preserve">Month</t>
  </si>
  <si>
    <t xml:space="preserve">Trend Value</t>
  </si>
  <si>
    <t xml:space="preserve">Olist Sales Overview</t>
  </si>
  <si>
    <t xml:space="preserve">Brazilian e-commerce · Sep 2016 – Aug 2018 · built from the cleaned PostgreSQL tables (Phase 1)</t>
  </si>
  <si>
    <t xml:space="preserve">Trend metric:</t>
  </si>
  <si>
    <t xml:space="preserve">Revenue</t>
  </si>
  <si>
    <t xml:space="preserve">Year:</t>
  </si>
  <si>
    <t xml:space="preserve">All</t>
  </si>
  <si>
    <t xml:space="preserve">← change these two cells to filter the trend chart and the totals below</t>
  </si>
  <si>
    <t xml:space="preserve">Selected period →  Revenue:</t>
  </si>
  <si>
    <t xml:space="preserve">Orders:</t>
  </si>
  <si>
    <t xml:space="preserve">TOTAL REVENUE</t>
  </si>
  <si>
    <t xml:space="preserve">TOTAL ORDERS</t>
  </si>
  <si>
    <t xml:space="preserve">AVG. DELIVERY DAYS</t>
  </si>
  <si>
    <t xml:space="preserve">ON-TIME DELIVERY</t>
  </si>
  <si>
    <t xml:space="preserve">AVG. REVIEW SCORE</t>
  </si>
  <si>
    <t xml:space="preserve">99,420 orders total</t>
  </si>
  <si>
    <t xml:space="preserve">96,478 delivered</t>
  </si>
  <si>
    <t xml:space="preserve">purchase to receipt</t>
  </si>
  <si>
    <t xml:space="preserve">vs. estimated date</t>
  </si>
  <si>
    <t xml:space="preserve">57.6% are 5-star</t>
  </si>
  <si>
    <t xml:space="preserve">Delivery Performance by State — sorted by order volume</t>
  </si>
  <si>
    <t xml:space="preserve">State</t>
  </si>
  <si>
    <t xml:space="preserve">Total Orders</t>
  </si>
  <si>
    <t xml:space="preserve">Avg Delivery Days</t>
  </si>
  <si>
    <t xml:space="preserve">Share of Volume</t>
  </si>
  <si>
    <t xml:space="preserve">Pace vs. Fastest (SP)</t>
  </si>
  <si>
    <t xml:space="preserve">Data: Olist Brazilian E-Commerce Public Dataset (Kaggle) · aggregated from cleaned PostgreSQL tables (Phase 1) · change the Trend metric / Year cells above to update the chart and totals</t>
  </si>
  <si>
    <t xml:space="preserve">Monthly Revenue &amp; Orders</t>
  </si>
  <si>
    <t xml:space="preserve">Order Status Breakdown</t>
  </si>
  <si>
    <t xml:space="preserve">Top 10 Product Categories</t>
  </si>
  <si>
    <t xml:space="preserve">Payment Methods</t>
  </si>
  <si>
    <t xml:space="preserve">Delivery Performance by State (Top 10 by volume)</t>
  </si>
  <si>
    <t xml:space="preserve">Review Score Distribution</t>
  </si>
  <si>
    <t xml:space="preserve">KPI Inputs (order-level metrics)</t>
  </si>
  <si>
    <t xml:space="preserve">Revenue (R$)</t>
  </si>
  <si>
    <t xml:space="preserve">Orders</t>
  </si>
  <si>
    <t xml:space="preserve">Year</t>
  </si>
  <si>
    <t xml:space="preserve">Status</t>
  </si>
  <si>
    <t xml:space="preserve">Category</t>
  </si>
  <si>
    <t xml:space="preserve">Items Sold</t>
  </si>
  <si>
    <t xml:space="preserve">Payment Type</t>
  </si>
  <si>
    <t xml:space="preserve">Score</t>
  </si>
  <si>
    <t xml:space="preserve">Reviews</t>
  </si>
  <si>
    <t xml:space="preserve">Avg Delivery Days (all delivered orders)</t>
  </si>
  <si>
    <t xml:space="preserve">2016-09</t>
  </si>
  <si>
    <t xml:space="preserve">Delivered</t>
  </si>
  <si>
    <t xml:space="preserve">Bed Bath Table</t>
  </si>
  <si>
    <t xml:space="preserve">Credit Card</t>
  </si>
  <si>
    <t xml:space="preserve">SP</t>
  </si>
  <si>
    <t xml:space="preserve">Avg Review Score</t>
  </si>
  <si>
    <t xml:space="preserve">2016-10</t>
  </si>
  <si>
    <t xml:space="preserve">Shipped</t>
  </si>
  <si>
    <t xml:space="preserve">Health Beauty</t>
  </si>
  <si>
    <t xml:space="preserve">Boleto</t>
  </si>
  <si>
    <t xml:space="preserve">RJ</t>
  </si>
  <si>
    <t xml:space="preserve">On-Time Delivery Rate</t>
  </si>
  <si>
    <t xml:space="preserve">2016-12</t>
  </si>
  <si>
    <t xml:space="preserve">Canceled</t>
  </si>
  <si>
    <t xml:space="preserve">Sports Leisure</t>
  </si>
  <si>
    <t xml:space="preserve">Voucher</t>
  </si>
  <si>
    <t xml:space="preserve">MG</t>
  </si>
  <si>
    <t xml:space="preserve">2017-01</t>
  </si>
  <si>
    <t xml:space="preserve">Unavailable</t>
  </si>
  <si>
    <t xml:space="preserve">Furniture Decor</t>
  </si>
  <si>
    <t xml:space="preserve">Debit Card</t>
  </si>
  <si>
    <t xml:space="preserve">RS</t>
  </si>
  <si>
    <t xml:space="preserve">Source: computed directly on order-level rows in PostgreSQL (Phase 1, Q2) and the EDA notebook (Phase 2) — the per-order dates and review scores this needs are not part of the aggregated tables in this workbook.</t>
  </si>
  <si>
    <t xml:space="preserve">2017-02</t>
  </si>
  <si>
    <t xml:space="preserve">Invoiced</t>
  </si>
  <si>
    <t xml:space="preserve">Computers Accessories</t>
  </si>
  <si>
    <t xml:space="preserve">Not Defined</t>
  </si>
  <si>
    <t xml:space="preserve">PR</t>
  </si>
  <si>
    <t xml:space="preserve">2017-03</t>
  </si>
  <si>
    <t xml:space="preserve">Processing</t>
  </si>
  <si>
    <t xml:space="preserve">Housewares</t>
  </si>
  <si>
    <t xml:space="preserve">SC</t>
  </si>
  <si>
    <t xml:space="preserve">2017-04</t>
  </si>
  <si>
    <t xml:space="preserve">Created</t>
  </si>
  <si>
    <t xml:space="preserve">Watches Gifts</t>
  </si>
  <si>
    <t xml:space="preserve">BA</t>
  </si>
  <si>
    <t xml:space="preserve">2017-05</t>
  </si>
  <si>
    <t xml:space="preserve">Approved</t>
  </si>
  <si>
    <t xml:space="preserve">Telephony</t>
  </si>
  <si>
    <t xml:space="preserve">DF</t>
  </si>
  <si>
    <t xml:space="preserve">2017-06</t>
  </si>
  <si>
    <t xml:space="preserve">Garden Tools</t>
  </si>
  <si>
    <t xml:space="preserve">ES</t>
  </si>
  <si>
    <t xml:space="preserve">2017-07</t>
  </si>
  <si>
    <t xml:space="preserve">Auto</t>
  </si>
  <si>
    <t xml:space="preserve">GO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</si>
  <si>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</si>
  <si>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</si>
  <si>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</si>
  <si>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</si>
  <si>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</si>
  <si>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</si>
  <si>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</si>
  <si>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</si>
  <si>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</si>
  <si>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</si>
  <si>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</si>
  <si>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</si>
  <si>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</si>
  <si>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Source: aggregated from cleaned_orders + cleaned_order_payments (Phase 1 SQL), grouped by order purchase month.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</si>
</sst>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&quot;R$&quot;#,##0"/>
    <numFmt numFmtId="167" formatCode="#,##0"/>
    <numFmt numFmtId="168" formatCode="&quot;R$&quot;#,##0,,\M"/>
    <numFmt numFmtId="169" formatCode="0.0&quot; days&quot;"/>
    <numFmt numFmtId="170" formatCode="0.0%"/>
    <numFmt numFmtId="171" formatCode="0.00&quot; / 5&quot;"/>
    <numFmt numFmtId="172" formatCode="0.0&quot; d&quot;"/>
    <numFmt numFmtId="173" formatCode="\+0.0&quot; d&quot;;0.0&quot; d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C2534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b val="true"/>
      <sz val="10"/>
      <color rgb="FF667085"/>
      <name val="Arial"/>
      <family val="0"/>
      <charset val="1"/>
    </font>
    <font>
      <b val="true"/>
      <sz val="11"/>
      <color rgb="FF1C253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sz val="9"/>
      <color rgb="FF667085"/>
      <name val="Arial"/>
      <family val="0"/>
      <charset val="1"/>
    </font>
    <font>
      <b val="true"/>
      <sz val="9"/>
      <color rgb="FF1C2534"/>
      <name val="Arial"/>
      <family val="0"/>
      <charset val="1"/>
    </font>
    <font>
      <b val="true"/>
      <sz val="8.5"/>
      <color rgb="FF667085"/>
      <name val="Arial"/>
      <family val="0"/>
      <charset val="1"/>
    </font>
    <font>
      <b val="true"/>
      <sz val="18"/>
      <color rgb="FF1C2534"/>
      <name val="Arial"/>
      <family val="0"/>
      <charset val="1"/>
    </font>
    <font>
      <sz val="8.5"/>
      <color rgb="FF667085"/>
      <name val="Arial"/>
      <family val="0"/>
      <charset val="1"/>
    </font>
    <font>
      <b val="true"/>
      <sz val="12"/>
      <color rgb="FF1C2534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1C2534"/>
      <name val="Arial"/>
      <family val="0"/>
      <charset val="1"/>
    </font>
    <font>
      <sz val="10"/>
      <color rgb="FF1C2534"/>
      <name val="Arial"/>
      <family val="0"/>
      <charset val="1"/>
    </font>
    <font>
      <i val="true"/>
      <sz val="8.5"/>
      <color rgb="FF66708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708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A"/>
        <bgColor rgb="FFFBFCFE"/>
      </patternFill>
    </fill>
    <fill>
      <patternFill patternType="solid">
        <fgColor rgb="FFFFFFFF"/>
        <bgColor rgb="FFFBFCFE"/>
      </patternFill>
    </fill>
    <fill>
      <patternFill patternType="solid">
        <fgColor rgb="FF1C2534"/>
        <bgColor rgb="FF333300"/>
      </patternFill>
    </fill>
    <fill>
      <patternFill patternType="solid">
        <fgColor rgb="FFFBFCFE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 diagonalUp="false" diagonalDown="false">
      <left style="thin">
        <color rgb="FFE3E8EF"/>
      </left>
      <right style="thin">
        <color rgb="FFE3E8EF"/>
      </right>
      <top style="thin">
        <color rgb="FFE3E8EF"/>
      </top>
      <bottom/>
      <diagonal/>
    </border>
    <border diagonalUp="false" diagonalDown="false">
      <left style="medium">
        <color rgb="FF4A90D9"/>
      </left>
      <right style="thin">
        <color rgb="FFE3E8EF"/>
      </right>
      <top/>
      <bottom/>
      <diagonal/>
    </border>
    <border diagonalUp="false" diagonalDown="false">
      <left style="medium">
        <color rgb="FF2FB897"/>
      </left>
      <right style="thin">
        <color rgb="FFE3E8EF"/>
      </right>
      <top/>
      <bottom/>
      <diagonal/>
    </border>
    <border diagonalUp="false" diagonalDown="false">
      <left style="medium">
        <color rgb="FFE8935A"/>
      </left>
      <right style="thin">
        <color rgb="FFE3E8EF"/>
      </right>
      <top/>
      <bottom/>
      <diagonal/>
    </border>
    <border diagonalUp="false" diagonalDown="false">
      <left style="medium">
        <color rgb="FF4C9A5B"/>
      </left>
      <right style="thin">
        <color rgb="FFE3E8EF"/>
      </right>
      <top/>
      <bottom/>
      <diagonal/>
    </border>
    <border diagonalUp="false" diagonalDown="false">
      <left style="medium">
        <color rgb="FFE0A83E"/>
      </left>
      <right style="thin">
        <color rgb="FFE3E8EF"/>
      </right>
      <top/>
      <bottom/>
      <diagonal/>
    </border>
    <border diagonalUp="false" diagonalDown="false">
      <left style="thin">
        <color rgb="FFE3E8EF"/>
      </left>
      <right style="thin">
        <color rgb="FFE3E8EF"/>
      </right>
      <top/>
      <bottom style="thin">
        <color rgb="FFE3E8EF"/>
      </bottom>
      <diagonal/>
    </border>
    <border diagonalUp="false" diagonalDown="false">
      <left/>
      <right/>
      <top style="thin">
        <color rgb="FFE3E8EF"/>
      </top>
      <bottom style="thin">
        <color rgb="FFE3E8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4A90D9"/>
      <rgbColor rgb="FF993366"/>
      <rgbColor rgb="FFFBFCFE"/>
      <rgbColor rgb="FFE3E8EF"/>
      <rgbColor rgb="FF660066"/>
      <rgbColor rgb="FFE893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CCFFCC"/>
      <rgbColor rgb="FFFFFF99"/>
      <rgbColor rgb="FF99CCFF"/>
      <rgbColor rgb="FFD97BA0"/>
      <rgbColor rgb="FFCC99FF"/>
      <rgbColor rgb="FFFFCC99"/>
      <rgbColor rgb="FF4F81BD"/>
      <rgbColor rgb="FF2FB897"/>
      <rgbColor rgb="FF99CC00"/>
      <rgbColor rgb="FFFFCC00"/>
      <rgbColor rgb="FFE0A83E"/>
      <rgbColor rgb="FFD96B6B"/>
      <rgbColor rgb="FF667085"/>
      <rgbColor rgb="FF7C6BC4"/>
      <rgbColor rgb="FF003366"/>
      <rgbColor rgb="FF4C9A5B"/>
      <rgbColor rgb="FF003300"/>
      <rgbColor rgb="FF333300"/>
      <rgbColor rgb="FF993300"/>
      <rgbColor rgb="FF993366"/>
      <rgbColor rgb="FF333399"/>
      <rgbColor rgb="FF1C25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Trend (see metric selector above)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Dashboard!AB1</c:f>
              <c:strCache>
                <c:ptCount val="1"/>
                <c:pt idx="0">
                  <c:v>Trend Value</c:v>
                </c:pt>
              </c:strCache>
            </c:strRef>
          </c:tx>
          <c:spPr>
            <a:solidFill>
              <a:srgbClr val="4a90d9"/>
            </a:solidFill>
            <a:ln w="21960">
              <a:solidFill>
                <a:srgbClr val="4a90d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Dashboard!$AA$2:$AA$24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Dashboard!$AB$2:$AB$24</c:f>
              <c:numCache>
                <c:formatCode>General</c:formatCode>
                <c:ptCount val="23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592918.82</c:v>
                </c:pt>
                <c:pt idx="8">
                  <c:v>511276.38</c:v>
                </c:pt>
                <c:pt idx="9">
                  <c:v>592382.92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</c:v>
                </c:pt>
                <c:pt idx="18">
                  <c:v>1160785.48</c:v>
                </c:pt>
                <c:pt idx="19">
                  <c:v>1153982.15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33427"/>
        <c:axId val="38213121"/>
      </c:lineChart>
      <c:catAx>
        <c:axId val="2333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13121"/>
        <c:crosses val="autoZero"/>
        <c:auto val="1"/>
        <c:lblAlgn val="ctr"/>
        <c:lblOffset val="100"/>
        <c:noMultiLvlLbl val="0"/>
      </c:catAx>
      <c:valAx>
        <c:axId val="38213121"/>
        <c:scaling>
          <c:orientation val="minMax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34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Data!M2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935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fb897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a83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d97ba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Data!$L$3:$L$7</c:f>
              <c:strCache>
                <c:ptCount val="5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  <c:pt idx="4">
                  <c:v>Not Defined</c:v>
                </c:pt>
              </c:strCache>
            </c:strRef>
          </c:cat>
          <c:val>
            <c:numRef>
              <c:f>Data!$M$3:$M$7</c:f>
              <c:numCache>
                <c:formatCode>General</c:formatCode>
                <c:ptCount val="5"/>
                <c:pt idx="0">
                  <c:v>76795</c:v>
                </c:pt>
                <c:pt idx="1">
                  <c:v>19784</c:v>
                </c:pt>
                <c:pt idx="2">
                  <c:v>5775</c:v>
                </c:pt>
                <c:pt idx="3">
                  <c:v>1529</c:v>
                </c:pt>
                <c:pt idx="4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 Categories (items sold)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Data!J2</c:f>
              <c:strCache>
                <c:ptCount val="1"/>
                <c:pt idx="0">
                  <c:v>Items Sold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Data!$I$3:$I$12</c:f>
              <c:strCache>
                <c:ptCount val="10"/>
                <c:pt idx="0">
                  <c:v>Bed Bath Table</c:v>
                </c:pt>
                <c:pt idx="1">
                  <c:v>Health Beauty</c:v>
                </c:pt>
                <c:pt idx="2">
                  <c:v>Sports Leisure</c:v>
                </c:pt>
                <c:pt idx="3">
                  <c:v>Furniture Decor</c:v>
                </c:pt>
                <c:pt idx="4">
                  <c:v>Computers Accessories</c:v>
                </c:pt>
                <c:pt idx="5">
                  <c:v>Housewares</c:v>
                </c:pt>
                <c:pt idx="6">
                  <c:v>Watches Gifts</c:v>
                </c:pt>
                <c:pt idx="7">
                  <c:v>Telephony</c:v>
                </c:pt>
                <c:pt idx="8">
                  <c:v>Garden Tools</c:v>
                </c:pt>
                <c:pt idx="9">
                  <c:v>Auto</c:v>
                </c:pt>
              </c:strCache>
            </c:strRef>
          </c:cat>
          <c:val>
            <c:numRef>
              <c:f>Data!$J$3:$J$12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</c:ser>
        <c:gapWidth val="150"/>
        <c:overlap val="0"/>
        <c:axId val="56845725"/>
        <c:axId val="55849122"/>
      </c:barChart>
      <c:catAx>
        <c:axId val="56845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49122"/>
        <c:crosses val="autoZero"/>
        <c:auto val="1"/>
        <c:lblAlgn val="ctr"/>
        <c:lblOffset val="100"/>
        <c:noMultiLvlLbl val="0"/>
      </c:catAx>
      <c:valAx>
        <c:axId val="55849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457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Avg. Delivery Days by State (top 10 by volume)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Data!Q2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c9a5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7c6bc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7c6bc4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c6bc4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7c6bc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7c6bc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Data!$O$3:$O$12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Data!$Q$3:$Q$12</c:f>
              <c:numCache>
                <c:formatCode>General</c:formatCode>
                <c:ptCount val="10"/>
                <c:pt idx="0">
                  <c:v>8.8</c:v>
                </c:pt>
                <c:pt idx="1">
                  <c:v>15.3</c:v>
                </c:pt>
                <c:pt idx="2">
                  <c:v>12</c:v>
                </c:pt>
                <c:pt idx="3">
                  <c:v>15.3</c:v>
                </c:pt>
                <c:pt idx="4">
                  <c:v>12</c:v>
                </c:pt>
                <c:pt idx="5">
                  <c:v>15</c:v>
                </c:pt>
                <c:pt idx="6">
                  <c:v>19.3</c:v>
                </c:pt>
                <c:pt idx="7">
                  <c:v>13</c:v>
                </c:pt>
                <c:pt idx="8">
                  <c:v>15.8</c:v>
                </c:pt>
                <c:pt idx="9">
                  <c:v>15.6</c:v>
                </c:pt>
              </c:numCache>
            </c:numRef>
          </c:val>
        </c:ser>
        <c:gapWidth val="150"/>
        <c:overlap val="0"/>
        <c:axId val="84639170"/>
        <c:axId val="25087218"/>
      </c:barChart>
      <c:catAx>
        <c:axId val="84639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87218"/>
        <c:crosses val="autoZero"/>
        <c:auto val="1"/>
        <c:lblAlgn val="ctr"/>
        <c:lblOffset val="100"/>
        <c:noMultiLvlLbl val="0"/>
      </c:catAx>
      <c:valAx>
        <c:axId val="25087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39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Data!G2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a90d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935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fb897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a83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d97ba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c9a5b"/>
              </a:solidFill>
              <a:ln w="0">
                <a:noFill/>
              </a:ln>
            </c:spPr>
          </c:dPt>
          <c:dPt>
            <c:idx val="6"/>
            <c:spPr>
              <a:solidFill>
                <a:srgbClr val="7c6bc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96b6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Data!$F$3:$F$10</c:f>
              <c:strCache>
                <c:ptCount val="8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  <c:pt idx="7">
                  <c:v>Approved</c:v>
                </c:pt>
              </c:strCache>
            </c:strRef>
          </c:cat>
          <c:val>
            <c:numRef>
              <c:f>Data!$G$3:$G$10</c:f>
              <c:numCache>
                <c:formatCode>General</c:formatCode>
                <c:ptCount val="8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  <c:pt idx="5">
                  <c:v>301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Data!T2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6b6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935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0a83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fb897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97ba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Data!$S$3:$S$7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Data!$T$3:$T$7</c:f>
              <c:numCache>
                <c:formatCode>General</c:formatCode>
                <c:ptCount val="5"/>
                <c:pt idx="0">
                  <c:v>11424</c:v>
                </c:pt>
                <c:pt idx="1">
                  <c:v>3151</c:v>
                </c:pt>
                <c:pt idx="2">
                  <c:v>8179</c:v>
                </c:pt>
                <c:pt idx="3">
                  <c:v>19142</c:v>
                </c:pt>
                <c:pt idx="4">
                  <c:v>57328</c:v>
                </c:pt>
              </c:numCache>
            </c:numRef>
          </c:val>
        </c:ser>
        <c:gapWidth val="150"/>
        <c:overlap val="0"/>
        <c:axId val="29778715"/>
        <c:axId val="29466018"/>
      </c:barChart>
      <c:catAx>
        <c:axId val="29778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66018"/>
        <c:crosses val="autoZero"/>
        <c:auto val="1"/>
        <c:lblAlgn val="ctr"/>
        <c:lblOffset val="100"/>
        <c:noMultiLvlLbl val="0"/>
      </c:catAx>
      <c:valAx>
        <c:axId val="29466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787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12</xdr:col>
      <xdr:colOff>190440</xdr:colOff>
      <xdr:row>29</xdr:row>
      <xdr:rowOff>11520</xdr:rowOff>
    </xdr:to>
    <xdr:graphicFrame>
      <xdr:nvGraphicFramePr>
        <xdr:cNvPr id="0" name="Chart 1"/>
        <xdr:cNvGraphicFramePr/>
      </xdr:nvGraphicFramePr>
      <xdr:xfrm>
        <a:off x="141120" y="2438280"/>
        <a:ext cx="75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13</xdr:row>
      <xdr:rowOff>0</xdr:rowOff>
    </xdr:from>
    <xdr:to>
      <xdr:col>20</xdr:col>
      <xdr:colOff>419040</xdr:colOff>
      <xdr:row>29</xdr:row>
      <xdr:rowOff>11520</xdr:rowOff>
    </xdr:to>
    <xdr:graphicFrame>
      <xdr:nvGraphicFramePr>
        <xdr:cNvPr id="1" name="Chart 2"/>
        <xdr:cNvGraphicFramePr/>
      </xdr:nvGraphicFramePr>
      <xdr:xfrm>
        <a:off x="9519840" y="2438280"/>
        <a:ext cx="32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9</xdr:col>
      <xdr:colOff>40320</xdr:colOff>
      <xdr:row>49</xdr:row>
      <xdr:rowOff>11880</xdr:rowOff>
    </xdr:to>
    <xdr:graphicFrame>
      <xdr:nvGraphicFramePr>
        <xdr:cNvPr id="2" name="Chart 3"/>
        <xdr:cNvGraphicFramePr/>
      </xdr:nvGraphicFramePr>
      <xdr:xfrm>
        <a:off x="141120" y="6248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33</xdr:row>
      <xdr:rowOff>0</xdr:rowOff>
    </xdr:from>
    <xdr:to>
      <xdr:col>18</xdr:col>
      <xdr:colOff>40320</xdr:colOff>
      <xdr:row>49</xdr:row>
      <xdr:rowOff>11880</xdr:rowOff>
    </xdr:to>
    <xdr:graphicFrame>
      <xdr:nvGraphicFramePr>
        <xdr:cNvPr id="3" name="Chart 4"/>
        <xdr:cNvGraphicFramePr/>
      </xdr:nvGraphicFramePr>
      <xdr:xfrm>
        <a:off x="6170400" y="62485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6</xdr:col>
      <xdr:colOff>250200</xdr:colOff>
      <xdr:row>69</xdr:row>
      <xdr:rowOff>11520</xdr:rowOff>
    </xdr:to>
    <xdr:graphicFrame>
      <xdr:nvGraphicFramePr>
        <xdr:cNvPr id="4" name="Chart 5"/>
        <xdr:cNvGraphicFramePr/>
      </xdr:nvGraphicFramePr>
      <xdr:xfrm>
        <a:off x="141120" y="10058400"/>
        <a:ext cx="35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18</xdr:col>
      <xdr:colOff>40320</xdr:colOff>
      <xdr:row>69</xdr:row>
      <xdr:rowOff>11520</xdr:rowOff>
    </xdr:to>
    <xdr:graphicFrame>
      <xdr:nvGraphicFramePr>
        <xdr:cNvPr id="5" name="Chart 6"/>
        <xdr:cNvGraphicFramePr/>
      </xdr:nvGraphicFramePr>
      <xdr:xfrm>
        <a:off x="6170400" y="100584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.51"/>
    <col collapsed="false" customWidth="true" hidden="false" outlineLevel="0" max="20" min="20" style="0" width="2"/>
    <col collapsed="false" customWidth="true" hidden="false" outlineLevel="0" max="27" min="27" style="0" width="10"/>
    <col collapsed="false" customWidth="true" hidden="false" outlineLevel="0" max="28" min="28" style="0" width="12"/>
  </cols>
  <sheetData>
    <row r="1" customFormat="false" ht="15" hidden="false" customHeight="false" outlineLevel="0" collapsed="false">
      <c r="AA1" s="0" t="s">
        <v>0</v>
      </c>
      <c r="AB1" s="0" t="s">
        <v>1</v>
      </c>
    </row>
    <row r="2" customFormat="false" ht="15" hidden="false" customHeight="false" outlineLevel="0" collapsed="false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AA2" s="0" t="str">
        <f aca="false">Data!A3</f>
        <v>2016-09</v>
      </c>
      <c r="AB2" s="2" t="n">
        <f aca="false">IF($D$6="Revenue", Data!B3, Data!C3)</f>
        <v>252.24</v>
      </c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AA3" s="0" t="str">
        <f aca="false">Data!A4</f>
        <v>2016-10</v>
      </c>
      <c r="AB3" s="2" t="n">
        <f aca="false">IF($D$6="Revenue", Data!B4, Data!C4)</f>
        <v>59090.48</v>
      </c>
    </row>
    <row r="4" customFormat="false" ht="15" hidden="false" customHeight="false" outlineLevel="0" collapsed="false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AA4" s="0" t="str">
        <f aca="false">Data!A5</f>
        <v>2016-12</v>
      </c>
      <c r="AB4" s="2" t="n">
        <f aca="false">IF($D$6="Revenue", Data!B5, Data!C5)</f>
        <v>19.62</v>
      </c>
    </row>
    <row r="5" customFormat="false" ht="15" hidden="false" customHeight="false" outlineLevel="0" collapsed="false">
      <c r="AA5" s="0" t="str">
        <f aca="false">Data!A6</f>
        <v>2017-01</v>
      </c>
      <c r="AB5" s="0" t="n">
        <f aca="false">IF($D$6="Revenue", Data!B6, Data!C6)</f>
        <v>138488.04</v>
      </c>
    </row>
    <row r="6" customFormat="false" ht="15" hidden="false" customHeight="false" outlineLevel="0" collapsed="false">
      <c r="B6" s="4" t="s">
        <v>4</v>
      </c>
      <c r="D6" s="5" t="s">
        <v>5</v>
      </c>
      <c r="G6" s="4" t="s">
        <v>6</v>
      </c>
      <c r="H6" s="5" t="s">
        <v>7</v>
      </c>
      <c r="J6" s="6" t="s">
        <v>8</v>
      </c>
      <c r="AA6" s="0" t="str">
        <f aca="false">Data!A7</f>
        <v>2017-02</v>
      </c>
      <c r="AB6" s="2" t="n">
        <f aca="false">IF($D$6="Revenue", Data!B7, Data!C7)</f>
        <v>291908.01</v>
      </c>
    </row>
    <row r="7" customFormat="false" ht="15" hidden="false" customHeight="false" outlineLevel="0" collapsed="false">
      <c r="B7" s="7" t="s">
        <v>9</v>
      </c>
      <c r="D7" s="8" t="n">
        <f aca="false">IF($H$6="All", SUM(Data!$B$3:$B$25), SUMIFS(Data!$B$3:$B$25, Data!$D$3:$D$25, VALUE($H$6)))</f>
        <v>16003842.91</v>
      </c>
      <c r="G7" s="7" t="s">
        <v>10</v>
      </c>
      <c r="H7" s="9" t="n">
        <f aca="false">IF($H$6="All", SUM(Data!$C$3:$C$25), SUMIFS(Data!$C$3:$C$25, Data!$D$3:$D$25, VALUE($H$6)))</f>
        <v>99420</v>
      </c>
      <c r="AA7" s="0" t="str">
        <f aca="false">Data!A8</f>
        <v>2017-03</v>
      </c>
      <c r="AB7" s="2" t="n">
        <f aca="false">IF($D$6="Revenue", Data!B8, Data!C8)</f>
        <v>449863.6</v>
      </c>
    </row>
    <row r="8" customFormat="false" ht="15" hidden="false" customHeight="false" outlineLevel="0" collapsed="false">
      <c r="AA8" s="0" t="str">
        <f aca="false">Data!A9</f>
        <v>2017-04</v>
      </c>
      <c r="AB8" s="0" t="n">
        <f aca="false">IF($D$6="Revenue", Data!B9, Data!C9)</f>
        <v>417788.03</v>
      </c>
    </row>
    <row r="9" customFormat="false" ht="15" hidden="false" customHeight="true" outlineLevel="0" collapsed="false">
      <c r="B9" s="10" t="s">
        <v>11</v>
      </c>
      <c r="C9" s="10"/>
      <c r="E9" s="10" t="s">
        <v>12</v>
      </c>
      <c r="F9" s="10"/>
      <c r="H9" s="10" t="s">
        <v>13</v>
      </c>
      <c r="I9" s="10"/>
      <c r="K9" s="10" t="s">
        <v>14</v>
      </c>
      <c r="L9" s="10"/>
      <c r="N9" s="10" t="s">
        <v>15</v>
      </c>
      <c r="O9" s="10"/>
      <c r="AA9" s="0" t="str">
        <f aca="false">Data!A10</f>
        <v>2017-05</v>
      </c>
      <c r="AB9" s="2" t="n">
        <f aca="false">IF($D$6="Revenue", Data!B10, Data!C10)</f>
        <v>592918.82</v>
      </c>
    </row>
    <row r="10" customFormat="false" ht="13.5" hidden="false" customHeight="true" outlineLevel="0" collapsed="false">
      <c r="B10" s="11" t="n">
        <f aca="false">SUM(Data!B3:B25)</f>
        <v>16003842.91</v>
      </c>
      <c r="C10" s="11"/>
      <c r="E10" s="12" t="n">
        <f aca="false">SUM(Data!C3:C25)</f>
        <v>99420</v>
      </c>
      <c r="F10" s="12"/>
      <c r="H10" s="13" t="n">
        <f aca="false">Data!V2</f>
        <v>12.56</v>
      </c>
      <c r="I10" s="13"/>
      <c r="K10" s="14" t="n">
        <f aca="false">Data!V4</f>
        <v>0.9189</v>
      </c>
      <c r="L10" s="14"/>
      <c r="N10" s="15" t="n">
        <f aca="false">Data!V3</f>
        <v>4.09</v>
      </c>
      <c r="O10" s="15"/>
      <c r="AA10" s="0" t="str">
        <f aca="false">Data!A11</f>
        <v>2017-06</v>
      </c>
      <c r="AB10" s="2" t="n">
        <f aca="false">IF($D$6="Revenue", Data!B11, Data!C11)</f>
        <v>511276.38</v>
      </c>
    </row>
    <row r="11" customFormat="false" ht="13.5" hidden="false" customHeight="true" outlineLevel="0" collapsed="false">
      <c r="B11" s="11"/>
      <c r="C11" s="11"/>
      <c r="E11" s="12"/>
      <c r="F11" s="12"/>
      <c r="H11" s="13"/>
      <c r="I11" s="13"/>
      <c r="K11" s="14"/>
      <c r="L11" s="14"/>
      <c r="N11" s="15"/>
      <c r="O11" s="15"/>
      <c r="AA11" s="0" t="str">
        <f aca="false">Data!A12</f>
        <v>2017-07</v>
      </c>
      <c r="AB11" s="2" t="n">
        <f aca="false">IF($D$6="Revenue", Data!B12, Data!C12)</f>
        <v>592382.92</v>
      </c>
    </row>
    <row r="12" customFormat="false" ht="15" hidden="false" customHeight="true" outlineLevel="0" collapsed="false">
      <c r="B12" s="16" t="s">
        <v>16</v>
      </c>
      <c r="C12" s="16"/>
      <c r="E12" s="16" t="s">
        <v>17</v>
      </c>
      <c r="F12" s="16"/>
      <c r="H12" s="16" t="s">
        <v>18</v>
      </c>
      <c r="I12" s="16"/>
      <c r="K12" s="16" t="s">
        <v>19</v>
      </c>
      <c r="L12" s="16"/>
      <c r="N12" s="16" t="s">
        <v>20</v>
      </c>
      <c r="O12" s="16"/>
      <c r="AA12" s="0" t="str">
        <f aca="false">Data!A13</f>
        <v>2017-08</v>
      </c>
      <c r="AB12" s="2" t="n">
        <f aca="false">IF($D$6="Revenue", Data!B13, Data!C13)</f>
        <v>674396.32</v>
      </c>
    </row>
    <row r="13" customFormat="false" ht="15" hidden="false" customHeight="false" outlineLevel="0" collapsed="false">
      <c r="AA13" s="0" t="str">
        <f aca="false">Data!A14</f>
        <v>2017-09</v>
      </c>
      <c r="AB13" s="0" t="n">
        <f aca="false">IF($D$6="Revenue", Data!B14, Data!C14)</f>
        <v>727762.45</v>
      </c>
    </row>
    <row r="14" customFormat="false" ht="15" hidden="false" customHeight="false" outlineLevel="0" collapsed="false">
      <c r="AA14" s="0" t="str">
        <f aca="false">Data!A15</f>
        <v>2017-10</v>
      </c>
      <c r="AB14" s="0" t="n">
        <f aca="false">IF($D$6="Revenue", Data!B15, Data!C15)</f>
        <v>779677.88</v>
      </c>
    </row>
    <row r="15" customFormat="false" ht="15" hidden="false" customHeight="false" outlineLevel="0" collapsed="false">
      <c r="AA15" s="0" t="str">
        <f aca="false">Data!A16</f>
        <v>2017-11</v>
      </c>
      <c r="AB15" s="0" t="n">
        <f aca="false">IF($D$6="Revenue", Data!B16, Data!C16)</f>
        <v>1194882.8</v>
      </c>
    </row>
    <row r="16" customFormat="false" ht="15" hidden="false" customHeight="false" outlineLevel="0" collapsed="false">
      <c r="AA16" s="0" t="str">
        <f aca="false">Data!A17</f>
        <v>2017-12</v>
      </c>
      <c r="AB16" s="0" t="n">
        <f aca="false">IF($D$6="Revenue", Data!B17, Data!C17)</f>
        <v>878401.48</v>
      </c>
    </row>
    <row r="17" customFormat="false" ht="15" hidden="false" customHeight="false" outlineLevel="0" collapsed="false">
      <c r="AA17" s="0" t="str">
        <f aca="false">Data!A18</f>
        <v>2018-01</v>
      </c>
      <c r="AB17" s="0" t="n">
        <f aca="false">IF($D$6="Revenue", Data!B18, Data!C18)</f>
        <v>1115004.18</v>
      </c>
    </row>
    <row r="18" customFormat="false" ht="15" hidden="false" customHeight="false" outlineLevel="0" collapsed="false">
      <c r="AA18" s="0" t="str">
        <f aca="false">Data!A19</f>
        <v>2018-02</v>
      </c>
      <c r="AB18" s="0" t="n">
        <f aca="false">IF($D$6="Revenue", Data!B19, Data!C19)</f>
        <v>992463.34</v>
      </c>
    </row>
    <row r="19" customFormat="false" ht="15" hidden="false" customHeight="false" outlineLevel="0" collapsed="false">
      <c r="AA19" s="0" t="str">
        <f aca="false">Data!A20</f>
        <v>2018-03</v>
      </c>
      <c r="AB19" s="0" t="n">
        <f aca="false">IF($D$6="Revenue", Data!B20, Data!C20)</f>
        <v>1159652.12</v>
      </c>
    </row>
    <row r="20" customFormat="false" ht="15" hidden="false" customHeight="false" outlineLevel="0" collapsed="false">
      <c r="AA20" s="0" t="str">
        <f aca="false">Data!A21</f>
        <v>2018-04</v>
      </c>
      <c r="AB20" s="0" t="n">
        <f aca="false">IF($D$6="Revenue", Data!B21, Data!C21)</f>
        <v>1160785.48</v>
      </c>
    </row>
    <row r="21" customFormat="false" ht="15" hidden="false" customHeight="false" outlineLevel="0" collapsed="false">
      <c r="AA21" s="0" t="str">
        <f aca="false">Data!A22</f>
        <v>2018-05</v>
      </c>
      <c r="AB21" s="0" t="n">
        <f aca="false">IF($D$6="Revenue", Data!B22, Data!C22)</f>
        <v>1153982.15</v>
      </c>
    </row>
    <row r="22" customFormat="false" ht="15" hidden="false" customHeight="false" outlineLevel="0" collapsed="false">
      <c r="AA22" s="0" t="str">
        <f aca="false">Data!A23</f>
        <v>2018-06</v>
      </c>
      <c r="AB22" s="0" t="n">
        <f aca="false">IF($D$6="Revenue", Data!B23, Data!C23)</f>
        <v>1023880.5</v>
      </c>
    </row>
    <row r="23" customFormat="false" ht="15" hidden="false" customHeight="false" outlineLevel="0" collapsed="false">
      <c r="AA23" s="0" t="str">
        <f aca="false">Data!A24</f>
        <v>2018-07</v>
      </c>
      <c r="AB23" s="0" t="n">
        <f aca="false">IF($D$6="Revenue", Data!B24, Data!C24)</f>
        <v>1066540.75</v>
      </c>
    </row>
    <row r="24" customFormat="false" ht="15" hidden="false" customHeight="false" outlineLevel="0" collapsed="false">
      <c r="AA24" s="0" t="str">
        <f aca="false">Data!A25</f>
        <v>2018-08</v>
      </c>
      <c r="AB24" s="0" t="n">
        <f aca="false">IF($D$6="Revenue", Data!B25, Data!C25)</f>
        <v>1022425.32</v>
      </c>
    </row>
    <row r="72" customFormat="false" ht="15" hidden="false" customHeight="false" outlineLevel="0" collapsed="false">
      <c r="B72" s="17" t="s">
        <v>21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4" customFormat="false" ht="15" hidden="false" customHeight="false" outlineLevel="0" collapsed="false">
      <c r="B74" s="18" t="s">
        <v>22</v>
      </c>
      <c r="C74" s="18"/>
      <c r="F74" s="18" t="s">
        <v>23</v>
      </c>
      <c r="G74" s="18"/>
      <c r="H74" s="18"/>
      <c r="I74" s="18" t="s">
        <v>24</v>
      </c>
      <c r="J74" s="18"/>
      <c r="K74" s="18"/>
      <c r="L74" s="18" t="s">
        <v>25</v>
      </c>
      <c r="M74" s="18"/>
      <c r="N74" s="18"/>
      <c r="O74" s="18" t="s">
        <v>26</v>
      </c>
      <c r="P74" s="18"/>
      <c r="Q74" s="18"/>
    </row>
    <row r="75" customFormat="false" ht="15" hidden="false" customHeight="false" outlineLevel="0" collapsed="false">
      <c r="B75" s="19" t="str">
        <f aca="false">Data!O3</f>
        <v>SP</v>
      </c>
      <c r="C75" s="19"/>
      <c r="D75" s="20"/>
      <c r="E75" s="20"/>
      <c r="F75" s="21" t="n">
        <f aca="false">Data!P3</f>
        <v>40494</v>
      </c>
      <c r="G75" s="21"/>
      <c r="H75" s="21"/>
      <c r="I75" s="22" t="n">
        <f aca="false">Data!Q3</f>
        <v>8.8</v>
      </c>
      <c r="J75" s="22"/>
      <c r="K75" s="22"/>
      <c r="L75" s="23" t="n">
        <f aca="false">Data!P3/SUM(Data!$P$3:$P$12)</f>
        <v>0.463854110585459</v>
      </c>
      <c r="M75" s="23"/>
      <c r="N75" s="23"/>
      <c r="O75" s="24" t="n">
        <f aca="false">Data!Q3-MIN(Data!$Q$3:$Q$12)</f>
        <v>0</v>
      </c>
      <c r="P75" s="24"/>
      <c r="Q75" s="24"/>
    </row>
    <row r="76" customFormat="false" ht="15" hidden="false" customHeight="false" outlineLevel="0" collapsed="false">
      <c r="B76" s="25" t="str">
        <f aca="false">Data!O4</f>
        <v>RJ</v>
      </c>
      <c r="C76" s="25"/>
      <c r="D76" s="26"/>
      <c r="E76" s="26"/>
      <c r="F76" s="27" t="n">
        <f aca="false">Data!P4</f>
        <v>12350</v>
      </c>
      <c r="G76" s="27"/>
      <c r="H76" s="27"/>
      <c r="I76" s="28" t="n">
        <f aca="false">Data!Q4</f>
        <v>15.3</v>
      </c>
      <c r="J76" s="28"/>
      <c r="K76" s="28"/>
      <c r="L76" s="29" t="n">
        <f aca="false">Data!P4/SUM(Data!$P$3:$P$12)</f>
        <v>0.141467828955658</v>
      </c>
      <c r="M76" s="29"/>
      <c r="N76" s="29"/>
      <c r="O76" s="30" t="n">
        <f aca="false">Data!Q4-MIN(Data!$Q$3:$Q$12)</f>
        <v>6.5</v>
      </c>
      <c r="P76" s="30"/>
      <c r="Q76" s="30"/>
    </row>
    <row r="77" customFormat="false" ht="15" hidden="false" customHeight="false" outlineLevel="0" collapsed="false">
      <c r="B77" s="19" t="str">
        <f aca="false">Data!O5</f>
        <v>MG</v>
      </c>
      <c r="C77" s="19"/>
      <c r="D77" s="20"/>
      <c r="E77" s="20"/>
      <c r="F77" s="21" t="n">
        <f aca="false">Data!P5</f>
        <v>11354</v>
      </c>
      <c r="G77" s="21"/>
      <c r="H77" s="21"/>
      <c r="I77" s="22" t="n">
        <f aca="false">Data!Q5</f>
        <v>12</v>
      </c>
      <c r="J77" s="22"/>
      <c r="K77" s="22"/>
      <c r="L77" s="23" t="n">
        <f aca="false">Data!P5/SUM(Data!$P$3:$P$12)</f>
        <v>0.13005876355972</v>
      </c>
      <c r="M77" s="23"/>
      <c r="N77" s="23"/>
      <c r="O77" s="24" t="n">
        <f aca="false">Data!Q5-MIN(Data!$Q$3:$Q$12)</f>
        <v>3.2</v>
      </c>
      <c r="P77" s="24"/>
      <c r="Q77" s="24"/>
    </row>
    <row r="78" customFormat="false" ht="15" hidden="false" customHeight="false" outlineLevel="0" collapsed="false">
      <c r="B78" s="25" t="str">
        <f aca="false">Data!O6</f>
        <v>RS</v>
      </c>
      <c r="C78" s="25"/>
      <c r="D78" s="26"/>
      <c r="E78" s="26"/>
      <c r="F78" s="27" t="n">
        <f aca="false">Data!P6</f>
        <v>5344</v>
      </c>
      <c r="G78" s="27"/>
      <c r="H78" s="27"/>
      <c r="I78" s="28" t="n">
        <f aca="false">Data!Q6</f>
        <v>15.3</v>
      </c>
      <c r="J78" s="28"/>
      <c r="K78" s="28"/>
      <c r="L78" s="29" t="n">
        <f aca="false">Data!P6/SUM(Data!$P$3:$P$12)</f>
        <v>0.0612149050962783</v>
      </c>
      <c r="M78" s="29"/>
      <c r="N78" s="29"/>
      <c r="O78" s="30" t="n">
        <f aca="false">Data!Q6-MIN(Data!$Q$3:$Q$12)</f>
        <v>6.5</v>
      </c>
      <c r="P78" s="30"/>
      <c r="Q78" s="30"/>
    </row>
    <row r="79" customFormat="false" ht="15" hidden="false" customHeight="false" outlineLevel="0" collapsed="false">
      <c r="B79" s="19" t="str">
        <f aca="false">Data!O7</f>
        <v>PR</v>
      </c>
      <c r="C79" s="19"/>
      <c r="D79" s="20"/>
      <c r="E79" s="20"/>
      <c r="F79" s="21" t="n">
        <f aca="false">Data!P7</f>
        <v>4923</v>
      </c>
      <c r="G79" s="21"/>
      <c r="H79" s="21"/>
      <c r="I79" s="22" t="n">
        <f aca="false">Data!Q7</f>
        <v>12</v>
      </c>
      <c r="J79" s="22"/>
      <c r="K79" s="22"/>
      <c r="L79" s="23" t="n">
        <f aca="false">Data!P7/SUM(Data!$P$3:$P$12)</f>
        <v>0.0563923985383567</v>
      </c>
      <c r="M79" s="23"/>
      <c r="N79" s="23"/>
      <c r="O79" s="24" t="n">
        <f aca="false">Data!Q7-MIN(Data!$Q$3:$Q$12)</f>
        <v>3.2</v>
      </c>
      <c r="P79" s="24"/>
      <c r="Q79" s="24"/>
    </row>
    <row r="80" customFormat="false" ht="15" hidden="false" customHeight="false" outlineLevel="0" collapsed="false">
      <c r="B80" s="25" t="str">
        <f aca="false">Data!O8</f>
        <v>SC</v>
      </c>
      <c r="C80" s="25"/>
      <c r="D80" s="26"/>
      <c r="E80" s="26"/>
      <c r="F80" s="27" t="n">
        <f aca="false">Data!P8</f>
        <v>3546</v>
      </c>
      <c r="G80" s="27"/>
      <c r="H80" s="27"/>
      <c r="I80" s="28" t="n">
        <f aca="false">Data!Q8</f>
        <v>15</v>
      </c>
      <c r="J80" s="28"/>
      <c r="K80" s="28"/>
      <c r="L80" s="29" t="n">
        <f aca="false">Data!P8/SUM(Data!$P$3:$P$12)</f>
        <v>0.0406190219819242</v>
      </c>
      <c r="M80" s="29"/>
      <c r="N80" s="29"/>
      <c r="O80" s="30" t="n">
        <f aca="false">Data!Q8-MIN(Data!$Q$3:$Q$12)</f>
        <v>6.2</v>
      </c>
      <c r="P80" s="30"/>
      <c r="Q80" s="30"/>
    </row>
    <row r="81" customFormat="false" ht="15" hidden="false" customHeight="false" outlineLevel="0" collapsed="false">
      <c r="B81" s="19" t="str">
        <f aca="false">Data!O9</f>
        <v>BA</v>
      </c>
      <c r="C81" s="19"/>
      <c r="D81" s="20"/>
      <c r="E81" s="20"/>
      <c r="F81" s="21" t="n">
        <f aca="false">Data!P9</f>
        <v>3256</v>
      </c>
      <c r="G81" s="21"/>
      <c r="H81" s="21"/>
      <c r="I81" s="22" t="n">
        <f aca="false">Data!Q9</f>
        <v>19.3</v>
      </c>
      <c r="J81" s="22"/>
      <c r="K81" s="22"/>
      <c r="L81" s="23" t="n">
        <f aca="false">Data!P9/SUM(Data!$P$3:$P$12)</f>
        <v>0.0372971053505768</v>
      </c>
      <c r="M81" s="23"/>
      <c r="N81" s="23"/>
      <c r="O81" s="24" t="n">
        <f aca="false">Data!Q9-MIN(Data!$Q$3:$Q$12)</f>
        <v>10.5</v>
      </c>
      <c r="P81" s="24"/>
      <c r="Q81" s="24"/>
    </row>
    <row r="82" customFormat="false" ht="15" hidden="false" customHeight="false" outlineLevel="0" collapsed="false">
      <c r="B82" s="25" t="str">
        <f aca="false">Data!O10</f>
        <v>DF</v>
      </c>
      <c r="C82" s="25"/>
      <c r="D82" s="26"/>
      <c r="E82" s="26"/>
      <c r="F82" s="27" t="n">
        <f aca="false">Data!P10</f>
        <v>2080</v>
      </c>
      <c r="G82" s="27"/>
      <c r="H82" s="27"/>
      <c r="I82" s="28" t="n">
        <f aca="false">Data!Q10</f>
        <v>13</v>
      </c>
      <c r="J82" s="28"/>
      <c r="K82" s="28"/>
      <c r="L82" s="29" t="n">
        <f aca="false">Data!P10/SUM(Data!$P$3:$P$12)</f>
        <v>0.0238261606662161</v>
      </c>
      <c r="M82" s="29"/>
      <c r="N82" s="29"/>
      <c r="O82" s="30" t="n">
        <f aca="false">Data!Q10-MIN(Data!$Q$3:$Q$12)</f>
        <v>4.2</v>
      </c>
      <c r="P82" s="30"/>
      <c r="Q82" s="30"/>
    </row>
    <row r="83" customFormat="false" ht="15" hidden="false" customHeight="false" outlineLevel="0" collapsed="false">
      <c r="B83" s="19" t="str">
        <f aca="false">Data!O11</f>
        <v>ES</v>
      </c>
      <c r="C83" s="19"/>
      <c r="D83" s="20"/>
      <c r="E83" s="20"/>
      <c r="F83" s="21" t="n">
        <f aca="false">Data!P11</f>
        <v>1995</v>
      </c>
      <c r="G83" s="21"/>
      <c r="H83" s="21"/>
      <c r="I83" s="22" t="n">
        <f aca="false">Data!Q11</f>
        <v>15.8</v>
      </c>
      <c r="J83" s="22"/>
      <c r="K83" s="22"/>
      <c r="L83" s="23" t="n">
        <f aca="false">Data!P11/SUM(Data!$P$3:$P$12)</f>
        <v>0.0228524954466832</v>
      </c>
      <c r="M83" s="23"/>
      <c r="N83" s="23"/>
      <c r="O83" s="24" t="n">
        <f aca="false">Data!Q11-MIN(Data!$Q$3:$Q$12)</f>
        <v>7</v>
      </c>
      <c r="P83" s="24"/>
      <c r="Q83" s="24"/>
    </row>
    <row r="84" customFormat="false" ht="15" hidden="false" customHeight="false" outlineLevel="0" collapsed="false">
      <c r="B84" s="25" t="str">
        <f aca="false">Data!O12</f>
        <v>GO</v>
      </c>
      <c r="C84" s="25"/>
      <c r="D84" s="26"/>
      <c r="E84" s="26"/>
      <c r="F84" s="27" t="n">
        <f aca="false">Data!P12</f>
        <v>1957</v>
      </c>
      <c r="G84" s="27"/>
      <c r="H84" s="27"/>
      <c r="I84" s="28" t="n">
        <f aca="false">Data!Q12</f>
        <v>15.6</v>
      </c>
      <c r="J84" s="28"/>
      <c r="K84" s="28"/>
      <c r="L84" s="29" t="n">
        <f aca="false">Data!P12/SUM(Data!$P$3:$P$12)</f>
        <v>0.0224172098191274</v>
      </c>
      <c r="M84" s="29"/>
      <c r="N84" s="29"/>
      <c r="O84" s="30" t="n">
        <f aca="false">Data!Q12-MIN(Data!$Q$3:$Q$12)</f>
        <v>6.8</v>
      </c>
      <c r="P84" s="30"/>
      <c r="Q84" s="30"/>
    </row>
    <row r="86" customFormat="false" ht="15" hidden="false" customHeight="false" outlineLevel="0" collapsed="false">
      <c r="B86" s="31" t="s">
        <v>27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</row>
  </sheetData>
  <mergeCells count="74">
    <mergeCell ref="B2:S3"/>
    <mergeCell ref="B4:S4"/>
    <mergeCell ref="B9:C9"/>
    <mergeCell ref="E9:F9"/>
    <mergeCell ref="H9:I9"/>
    <mergeCell ref="K9:L9"/>
    <mergeCell ref="N9:O9"/>
    <mergeCell ref="B10:C11"/>
    <mergeCell ref="E10:F11"/>
    <mergeCell ref="H10:I11"/>
    <mergeCell ref="K10:L11"/>
    <mergeCell ref="N10:O11"/>
    <mergeCell ref="B12:C12"/>
    <mergeCell ref="E12:F12"/>
    <mergeCell ref="H12:I12"/>
    <mergeCell ref="K12:L12"/>
    <mergeCell ref="N12:O12"/>
    <mergeCell ref="B72:S72"/>
    <mergeCell ref="B74:C74"/>
    <mergeCell ref="F74:H74"/>
    <mergeCell ref="I74:K74"/>
    <mergeCell ref="L74:N74"/>
    <mergeCell ref="O74:Q74"/>
    <mergeCell ref="B75:C75"/>
    <mergeCell ref="F75:H75"/>
    <mergeCell ref="I75:K75"/>
    <mergeCell ref="L75:N75"/>
    <mergeCell ref="O75:Q75"/>
    <mergeCell ref="B76:C76"/>
    <mergeCell ref="F76:H76"/>
    <mergeCell ref="I76:K76"/>
    <mergeCell ref="L76:N76"/>
    <mergeCell ref="O76:Q76"/>
    <mergeCell ref="B77:C77"/>
    <mergeCell ref="F77:H77"/>
    <mergeCell ref="I77:K77"/>
    <mergeCell ref="L77:N77"/>
    <mergeCell ref="O77:Q77"/>
    <mergeCell ref="B78:C78"/>
    <mergeCell ref="F78:H78"/>
    <mergeCell ref="I78:K78"/>
    <mergeCell ref="L78:N78"/>
    <mergeCell ref="O78:Q78"/>
    <mergeCell ref="B79:C79"/>
    <mergeCell ref="F79:H79"/>
    <mergeCell ref="I79:K79"/>
    <mergeCell ref="L79:N79"/>
    <mergeCell ref="O79:Q79"/>
    <mergeCell ref="B80:C80"/>
    <mergeCell ref="F80:H80"/>
    <mergeCell ref="I80:K80"/>
    <mergeCell ref="L80:N80"/>
    <mergeCell ref="O80:Q80"/>
    <mergeCell ref="B81:C81"/>
    <mergeCell ref="F81:H81"/>
    <mergeCell ref="I81:K81"/>
    <mergeCell ref="L81:N81"/>
    <mergeCell ref="O81:Q81"/>
    <mergeCell ref="B82:C82"/>
    <mergeCell ref="F82:H82"/>
    <mergeCell ref="I82:K82"/>
    <mergeCell ref="L82:N82"/>
    <mergeCell ref="O82:Q82"/>
    <mergeCell ref="B83:C83"/>
    <mergeCell ref="F83:H83"/>
    <mergeCell ref="I83:K83"/>
    <mergeCell ref="L83:N83"/>
    <mergeCell ref="O83:Q83"/>
    <mergeCell ref="B84:C84"/>
    <mergeCell ref="F84:H84"/>
    <mergeCell ref="I84:K84"/>
    <mergeCell ref="L84:N84"/>
    <mergeCell ref="O84:Q84"/>
    <mergeCell ref="B86:S86"/>
  </mergeCells>
  <dataValidations count="2">
    <dataValidation allowBlank="false" errorStyle="stop" operator="between" showDropDown="false" showErrorMessage="false" showInputMessage="false" sqref="D6" type="list">
      <formula1>"Revenue,Orders"</formula1>
      <formula2>0</formula2>
    </dataValidation>
    <dataValidation allowBlank="false" errorStyle="stop" operator="between" showDropDown="false" showErrorMessage="false" showInputMessage="false" sqref="H6" type="list">
      <formula1>"All,2016,2017,2018"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40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32" t="s">
        <v>28</v>
      </c>
      <c r="F1" s="32" t="s">
        <v>29</v>
      </c>
      <c r="I1" s="32" t="s">
        <v>30</v>
      </c>
      <c r="L1" s="32" t="s">
        <v>31</v>
      </c>
      <c r="O1" s="32" t="s">
        <v>32</v>
      </c>
      <c r="S1" s="32" t="s">
        <v>33</v>
      </c>
      <c r="U1" s="32" t="s">
        <v>34</v>
      </c>
    </row>
    <row r="2" customFormat="false" ht="15" hidden="false" customHeight="false" outlineLevel="0" collapsed="false">
      <c r="A2" s="33" t="s">
        <v>0</v>
      </c>
      <c r="B2" s="33" t="s">
        <v>35</v>
      </c>
      <c r="C2" s="33" t="s">
        <v>36</v>
      </c>
      <c r="D2" s="33" t="s">
        <v>37</v>
      </c>
      <c r="F2" s="33" t="s">
        <v>38</v>
      </c>
      <c r="G2" s="33" t="s">
        <v>36</v>
      </c>
      <c r="I2" s="33" t="s">
        <v>39</v>
      </c>
      <c r="J2" s="33" t="s">
        <v>40</v>
      </c>
      <c r="L2" s="33" t="s">
        <v>41</v>
      </c>
      <c r="M2" s="33" t="s">
        <v>36</v>
      </c>
      <c r="O2" s="33" t="s">
        <v>22</v>
      </c>
      <c r="P2" s="33" t="s">
        <v>23</v>
      </c>
      <c r="Q2" s="33" t="s">
        <v>24</v>
      </c>
      <c r="S2" s="33" t="s">
        <v>42</v>
      </c>
      <c r="T2" s="33" t="s">
        <v>43</v>
      </c>
      <c r="U2" s="34" t="s">
        <v>44</v>
      </c>
      <c r="V2" s="34" t="n">
        <v>12.56</v>
      </c>
    </row>
    <row r="3" customFormat="false" ht="15" hidden="false" customHeight="false" outlineLevel="0" collapsed="false">
      <c r="A3" s="34" t="s">
        <v>45</v>
      </c>
      <c r="B3" s="34" t="n">
        <v>252.24</v>
      </c>
      <c r="C3" s="34" t="n">
        <v>3</v>
      </c>
      <c r="D3" s="34" t="n">
        <v>2016</v>
      </c>
      <c r="F3" s="34" t="s">
        <v>46</v>
      </c>
      <c r="G3" s="34" t="n">
        <v>96478</v>
      </c>
      <c r="I3" s="34" t="s">
        <v>47</v>
      </c>
      <c r="J3" s="34" t="n">
        <v>11115</v>
      </c>
      <c r="L3" s="34" t="s">
        <v>48</v>
      </c>
      <c r="M3" s="34" t="n">
        <v>76795</v>
      </c>
      <c r="O3" s="34" t="s">
        <v>49</v>
      </c>
      <c r="P3" s="34" t="n">
        <v>40494</v>
      </c>
      <c r="Q3" s="34" t="n">
        <v>8.8</v>
      </c>
      <c r="S3" s="34" t="n">
        <v>1</v>
      </c>
      <c r="T3" s="34" t="n">
        <v>11424</v>
      </c>
      <c r="U3" s="34" t="s">
        <v>50</v>
      </c>
      <c r="V3" s="34" t="n">
        <v>4.09</v>
      </c>
    </row>
    <row r="4" customFormat="false" ht="15" hidden="false" customHeight="false" outlineLevel="0" collapsed="false">
      <c r="A4" s="34" t="s">
        <v>51</v>
      </c>
      <c r="B4" s="34" t="n">
        <v>59090.48</v>
      </c>
      <c r="C4" s="34" t="n">
        <v>324</v>
      </c>
      <c r="D4" s="34" t="n">
        <v>2016</v>
      </c>
      <c r="F4" s="34" t="s">
        <v>52</v>
      </c>
      <c r="G4" s="34" t="n">
        <v>1107</v>
      </c>
      <c r="I4" s="34" t="s">
        <v>53</v>
      </c>
      <c r="J4" s="34" t="n">
        <v>9670</v>
      </c>
      <c r="L4" s="34" t="s">
        <v>54</v>
      </c>
      <c r="M4" s="34" t="n">
        <v>19784</v>
      </c>
      <c r="O4" s="34" t="s">
        <v>55</v>
      </c>
      <c r="P4" s="34" t="n">
        <v>12350</v>
      </c>
      <c r="Q4" s="34" t="n">
        <v>15.3</v>
      </c>
      <c r="S4" s="34" t="n">
        <v>2</v>
      </c>
      <c r="T4" s="34" t="n">
        <v>3151</v>
      </c>
      <c r="U4" s="34" t="s">
        <v>56</v>
      </c>
      <c r="V4" s="34" t="n">
        <v>0.9189</v>
      </c>
    </row>
    <row r="5" customFormat="false" ht="15" hidden="false" customHeight="false" outlineLevel="0" collapsed="false">
      <c r="A5" s="34" t="s">
        <v>57</v>
      </c>
      <c r="B5" s="34" t="n">
        <v>19.62</v>
      </c>
      <c r="C5" s="34" t="n">
        <v>1</v>
      </c>
      <c r="D5" s="34" t="n">
        <v>2016</v>
      </c>
      <c r="F5" s="34" t="s">
        <v>58</v>
      </c>
      <c r="G5" s="34" t="n">
        <v>625</v>
      </c>
      <c r="I5" s="34" t="s">
        <v>59</v>
      </c>
      <c r="J5" s="34" t="n">
        <v>8641</v>
      </c>
      <c r="L5" s="34" t="s">
        <v>60</v>
      </c>
      <c r="M5" s="34" t="n">
        <v>5775</v>
      </c>
      <c r="O5" s="34" t="s">
        <v>61</v>
      </c>
      <c r="P5" s="34" t="n">
        <v>11354</v>
      </c>
      <c r="Q5" s="34" t="n">
        <v>12</v>
      </c>
      <c r="S5" s="34" t="n">
        <v>3</v>
      </c>
      <c r="T5" s="34" t="n">
        <v>8179</v>
      </c>
    </row>
    <row r="6" customFormat="false" ht="37.3" hidden="false" customHeight="false" outlineLevel="0" collapsed="false">
      <c r="A6" s="34" t="s">
        <v>62</v>
      </c>
      <c r="B6" s="34" t="n">
        <v>138488.04</v>
      </c>
      <c r="C6" s="34" t="n">
        <v>800</v>
      </c>
      <c r="D6" s="34" t="n">
        <v>2017</v>
      </c>
      <c r="F6" s="34" t="s">
        <v>63</v>
      </c>
      <c r="G6" s="34" t="n">
        <v>609</v>
      </c>
      <c r="I6" s="34" t="s">
        <v>64</v>
      </c>
      <c r="J6" s="34" t="n">
        <v>8334</v>
      </c>
      <c r="L6" s="34" t="s">
        <v>65</v>
      </c>
      <c r="M6" s="34" t="n">
        <v>1529</v>
      </c>
      <c r="O6" s="34" t="s">
        <v>66</v>
      </c>
      <c r="P6" s="34" t="n">
        <v>5344</v>
      </c>
      <c r="Q6" s="34" t="n">
        <v>15.3</v>
      </c>
      <c r="S6" s="34" t="n">
        <v>4</v>
      </c>
      <c r="T6" s="34" t="n">
        <v>19142</v>
      </c>
      <c r="U6" s="35" t="s">
        <v>67</v>
      </c>
    </row>
    <row r="7" customFormat="false" ht="15" hidden="false" customHeight="false" outlineLevel="0" collapsed="false">
      <c r="A7" s="34" t="s">
        <v>68</v>
      </c>
      <c r="B7" s="34" t="n">
        <v>291908.01</v>
      </c>
      <c r="C7" s="34" t="n">
        <v>1780</v>
      </c>
      <c r="D7" s="34" t="n">
        <v>2017</v>
      </c>
      <c r="F7" s="34" t="s">
        <v>69</v>
      </c>
      <c r="G7" s="34" t="n">
        <v>314</v>
      </c>
      <c r="I7" s="34" t="s">
        <v>70</v>
      </c>
      <c r="J7" s="34" t="n">
        <v>7827</v>
      </c>
      <c r="L7" s="34" t="s">
        <v>71</v>
      </c>
      <c r="M7" s="34" t="n">
        <v>3</v>
      </c>
      <c r="O7" s="34" t="s">
        <v>72</v>
      </c>
      <c r="P7" s="34" t="n">
        <v>4923</v>
      </c>
      <c r="Q7" s="34" t="n">
        <v>12</v>
      </c>
      <c r="S7" s="34" t="n">
        <v>5</v>
      </c>
      <c r="T7" s="34" t="n">
        <v>57328</v>
      </c>
    </row>
    <row r="8" customFormat="false" ht="15" hidden="false" customHeight="false" outlineLevel="0" collapsed="false">
      <c r="A8" s="34" t="s">
        <v>73</v>
      </c>
      <c r="B8" s="34" t="n">
        <v>449863.6</v>
      </c>
      <c r="C8" s="34" t="n">
        <v>2682</v>
      </c>
      <c r="D8" s="34" t="n">
        <v>2017</v>
      </c>
      <c r="F8" s="34" t="s">
        <v>74</v>
      </c>
      <c r="G8" s="34" t="n">
        <v>301</v>
      </c>
      <c r="I8" s="34" t="s">
        <v>75</v>
      </c>
      <c r="J8" s="34" t="n">
        <v>6964</v>
      </c>
      <c r="O8" s="34" t="s">
        <v>76</v>
      </c>
      <c r="P8" s="34" t="n">
        <v>3546</v>
      </c>
      <c r="Q8" s="34" t="n">
        <v>15</v>
      </c>
    </row>
    <row r="9" customFormat="false" ht="15" hidden="false" customHeight="false" outlineLevel="0" collapsed="false">
      <c r="A9" s="34" t="s">
        <v>77</v>
      </c>
      <c r="B9" s="34" t="n">
        <v>417788.03</v>
      </c>
      <c r="C9" s="34" t="n">
        <v>2404</v>
      </c>
      <c r="D9" s="34" t="n">
        <v>2017</v>
      </c>
      <c r="F9" s="34" t="s">
        <v>78</v>
      </c>
      <c r="G9" s="34" t="n">
        <v>5</v>
      </c>
      <c r="I9" s="34" t="s">
        <v>79</v>
      </c>
      <c r="J9" s="34" t="n">
        <v>5991</v>
      </c>
      <c r="O9" s="34" t="s">
        <v>80</v>
      </c>
      <c r="P9" s="34" t="n">
        <v>3256</v>
      </c>
      <c r="Q9" s="34" t="n">
        <v>19.3</v>
      </c>
    </row>
    <row r="10" customFormat="false" ht="15" hidden="false" customHeight="false" outlineLevel="0" collapsed="false">
      <c r="A10" s="34" t="s">
        <v>81</v>
      </c>
      <c r="B10" s="34" t="n">
        <v>592918.82</v>
      </c>
      <c r="C10" s="34" t="n">
        <v>3700</v>
      </c>
      <c r="D10" s="34" t="n">
        <v>2017</v>
      </c>
      <c r="F10" s="34" t="s">
        <v>82</v>
      </c>
      <c r="G10" s="34" t="n">
        <v>2</v>
      </c>
      <c r="I10" s="34" t="s">
        <v>83</v>
      </c>
      <c r="J10" s="34" t="n">
        <v>4545</v>
      </c>
      <c r="O10" s="34" t="s">
        <v>84</v>
      </c>
      <c r="P10" s="34" t="n">
        <v>2080</v>
      </c>
      <c r="Q10" s="34" t="n">
        <v>13</v>
      </c>
    </row>
    <row r="11" customFormat="false" ht="15" hidden="false" customHeight="false" outlineLevel="0" collapsed="false">
      <c r="A11" s="34" t="s">
        <v>85</v>
      </c>
      <c r="B11" s="34" t="n">
        <v>511276.38</v>
      </c>
      <c r="C11" s="34" t="n">
        <v>3245</v>
      </c>
      <c r="D11" s="34" t="n">
        <v>2017</v>
      </c>
      <c r="I11" s="34" t="s">
        <v>86</v>
      </c>
      <c r="J11" s="34" t="n">
        <v>4347</v>
      </c>
      <c r="O11" s="34" t="s">
        <v>87</v>
      </c>
      <c r="P11" s="34" t="n">
        <v>1995</v>
      </c>
      <c r="Q11" s="34" t="n">
        <v>15.8</v>
      </c>
    </row>
    <row r="12" customFormat="false" ht="15" hidden="false" customHeight="false" outlineLevel="0" collapsed="false">
      <c r="A12" s="34" t="s">
        <v>88</v>
      </c>
      <c r="B12" s="34" t="n">
        <v>592382.92</v>
      </c>
      <c r="C12" s="34" t="n">
        <v>4026</v>
      </c>
      <c r="D12" s="34" t="n">
        <v>2017</v>
      </c>
      <c r="I12" s="34" t="s">
        <v>89</v>
      </c>
      <c r="J12" s="34" t="n">
        <v>4235</v>
      </c>
      <c r="O12" s="34" t="s">
        <v>90</v>
      </c>
      <c r="P12" s="34" t="n">
        <v>1957</v>
      </c>
      <c r="Q12" s="34" t="n">
        <v>15.6</v>
      </c>
    </row>
    <row r="13" customFormat="false" ht="15" hidden="false" customHeight="false" outlineLevel="0" collapsed="false">
      <c r="A13" s="34" t="s">
        <v>91</v>
      </c>
      <c r="B13" s="34" t="n">
        <v>674396.32</v>
      </c>
      <c r="C13" s="34" t="n">
        <v>4331</v>
      </c>
      <c r="D13" s="34" t="n">
        <v>2017</v>
      </c>
    </row>
    <row r="14" customFormat="false" ht="15" hidden="false" customHeight="false" outlineLevel="0" collapsed="false">
      <c r="A14" s="34" t="s">
        <v>92</v>
      </c>
      <c r="B14" s="34" t="n">
        <v>727762.45</v>
      </c>
      <c r="C14" s="34" t="n">
        <v>4285</v>
      </c>
      <c r="D14" s="34" t="n">
        <v>2017</v>
      </c>
    </row>
    <row r="15" customFormat="false" ht="15" hidden="false" customHeight="false" outlineLevel="0" collapsed="false">
      <c r="A15" s="34" t="s">
        <v>93</v>
      </c>
      <c r="B15" s="34" t="n">
        <v>779677.88</v>
      </c>
      <c r="C15" s="34" t="n">
        <v>4631</v>
      </c>
      <c r="D15" s="34" t="n">
        <v>2017</v>
      </c>
    </row>
    <row r="16" customFormat="false" ht="15" hidden="false" customHeight="false" outlineLevel="0" collapsed="false">
      <c r="A16" s="34" t="s">
        <v>94</v>
      </c>
      <c r="B16" s="34" t="n">
        <v>1194882.8</v>
      </c>
      <c r="C16" s="34" t="n">
        <v>7544</v>
      </c>
      <c r="D16" s="34" t="n">
        <v>2017</v>
      </c>
    </row>
    <row r="17" customFormat="false" ht="15" hidden="false" customHeight="false" outlineLevel="0" collapsed="false">
      <c r="A17" s="34" t="s">
        <v>95</v>
      </c>
      <c r="B17" s="34" t="n">
        <v>878401.48</v>
      </c>
      <c r="C17" s="34" t="n">
        <v>5673</v>
      </c>
      <c r="D17" s="34" t="n">
        <v>2017</v>
      </c>
    </row>
    <row r="18" customFormat="false" ht="15" hidden="false" customHeight="false" outlineLevel="0" collapsed="false">
      <c r="A18" s="34" t="s">
        <v>96</v>
      </c>
      <c r="B18" s="34" t="n">
        <v>1115004.18</v>
      </c>
      <c r="C18" s="34" t="n">
        <v>7269</v>
      </c>
      <c r="D18" s="34" t="n">
        <v>2018</v>
      </c>
    </row>
    <row r="19" customFormat="false" ht="15" hidden="false" customHeight="false" outlineLevel="0" collapsed="false">
      <c r="A19" s="34" t="s">
        <v>97</v>
      </c>
      <c r="B19" s="34" t="n">
        <v>992463.34</v>
      </c>
      <c r="C19" s="34" t="n">
        <v>6728</v>
      </c>
      <c r="D19" s="34" t="n">
        <v>2018</v>
      </c>
    </row>
    <row r="20" customFormat="false" ht="15" hidden="false" customHeight="false" outlineLevel="0" collapsed="false">
      <c r="A20" s="34" t="s">
        <v>98</v>
      </c>
      <c r="B20" s="34" t="n">
        <v>1159652.12</v>
      </c>
      <c r="C20" s="34" t="n">
        <v>7211</v>
      </c>
      <c r="D20" s="34" t="n">
        <v>2018</v>
      </c>
    </row>
    <row r="21" customFormat="false" ht="15" hidden="false" customHeight="false" outlineLevel="0" collapsed="false">
      <c r="A21" s="34" t="s">
        <v>99</v>
      </c>
      <c r="B21" s="34" t="n">
        <v>1160785.48</v>
      </c>
      <c r="C21" s="34" t="n">
        <v>6939</v>
      </c>
      <c r="D21" s="34" t="n">
        <v>2018</v>
      </c>
    </row>
    <row r="22" customFormat="false" ht="15" hidden="false" customHeight="false" outlineLevel="0" collapsed="false">
      <c r="A22" s="34" t="s">
        <v>100</v>
      </c>
      <c r="B22" s="34" t="n">
        <v>1153982.15</v>
      </c>
      <c r="C22" s="34" t="n">
        <v>6873</v>
      </c>
      <c r="D22" s="34" t="n">
        <v>2018</v>
      </c>
    </row>
    <row r="23" customFormat="false" ht="15" hidden="false" customHeight="false" outlineLevel="0" collapsed="false">
      <c r="A23" s="34" t="s">
        <v>101</v>
      </c>
      <c r="B23" s="34" t="n">
        <v>1023880.5</v>
      </c>
      <c r="C23" s="34" t="n">
        <v>6167</v>
      </c>
      <c r="D23" s="34" t="n">
        <v>2018</v>
      </c>
    </row>
    <row r="24" customFormat="false" ht="15" hidden="false" customHeight="false" outlineLevel="0" collapsed="false">
      <c r="A24" s="34" t="s">
        <v>102</v>
      </c>
      <c r="B24" s="34" t="n">
        <v>1066540.75</v>
      </c>
      <c r="C24" s="34" t="n">
        <v>6292</v>
      </c>
      <c r="D24" s="34" t="n">
        <v>2018</v>
      </c>
    </row>
    <row r="25" customFormat="false" ht="15" hidden="false" customHeight="false" outlineLevel="0" collapsed="false">
      <c r="A25" s="34" t="s">
        <v>103</v>
      </c>
      <c r="B25" s="34" t="n">
        <v>1022425.32</v>
      </c>
      <c r="C25" s="34" t="n">
        <v>6512</v>
      </c>
      <c r="D25" s="34" t="n">
        <v>2018</v>
      </c>
    </row>
    <row r="26" customFormat="false" ht="15" hidden="false" customHeight="false" outlineLevel="0" collapsed="false">
      <c r="A26" s="3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2026-09-08T09:13:46Z</dcterms:created>
  <dc:creator>openpyxl</dc:creator>
  <dc:description/>
  <dc:language>en-US</dc:language>
  <cp:lastModifiedBy/>
  <dcterms:modified xsi:type="dcterms:W3CDTF">2026-09-08T09:16:06Z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